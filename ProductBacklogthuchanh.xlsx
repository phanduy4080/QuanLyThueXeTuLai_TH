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dowload c\NAM3\CongNghePhanMemNangCao\"/>
    </mc:Choice>
  </mc:AlternateContent>
  <xr:revisionPtr revIDLastSave="0" documentId="13_ncr:1_{1500735D-7F4D-476F-B165-A24BA210089E}" xr6:coauthVersionLast="47" xr6:coauthVersionMax="47" xr10:uidLastSave="{00000000-0000-0000-0000-000000000000}"/>
  <bookViews>
    <workbookView xWindow="-108" yWindow="-108" windowWidth="23256" windowHeight="12456" tabRatio="798" activeTab="3" xr2:uid="{00000000-000D-0000-FFFF-FFFF00000000}"/>
  </bookViews>
  <sheets>
    <sheet name="Project Information" sheetId="7" r:id="rId1"/>
    <sheet name="Team" sheetId="4" r:id="rId2"/>
    <sheet name="Product backlog" sheetId="1" r:id="rId3"/>
    <sheet name="Sprint backlog" sheetId="6" r:id="rId4"/>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6" l="1"/>
  <c r="C17" i="6"/>
  <c r="I12" i="6"/>
  <c r="C12" i="6"/>
  <c r="I8" i="6"/>
  <c r="C8" i="6"/>
  <c r="I5" i="6"/>
  <c r="C5" i="6"/>
</calcChain>
</file>

<file path=xl/sharedStrings.xml><?xml version="1.0" encoding="utf-8"?>
<sst xmlns="http://schemas.openxmlformats.org/spreadsheetml/2006/main" count="133" uniqueCount="92">
  <si>
    <t>I. Requirements</t>
  </si>
  <si>
    <t>TEAM DEVELOPMENT STRUCTURE</t>
  </si>
  <si>
    <t>No.</t>
  </si>
  <si>
    <t>Name</t>
  </si>
  <si>
    <t>Account</t>
  </si>
  <si>
    <t>Roles</t>
  </si>
  <si>
    <t>DateStart</t>
  </si>
  <si>
    <t>Date End</t>
  </si>
  <si>
    <t>E-COMMERCE PROJECT - PRODUCT BACKLOG</t>
  </si>
  <si>
    <t>Story ID</t>
  </si>
  <si>
    <t>Story Name</t>
  </si>
  <si>
    <t>Points</t>
  </si>
  <si>
    <t>E-COMMERCE PROJECT - SPRINT BACKLOG</t>
  </si>
  <si>
    <t>Name Of Dev</t>
  </si>
  <si>
    <t>Start Date</t>
  </si>
  <si>
    <t>Endate</t>
  </si>
  <si>
    <t>Act Start Date</t>
  </si>
  <si>
    <t>ActEndate</t>
  </si>
  <si>
    <t>Act Points</t>
  </si>
  <si>
    <t>Notes</t>
  </si>
  <si>
    <t>Phan Nguyễn Thanh Duy</t>
  </si>
  <si>
    <t>Team Lead</t>
  </si>
  <si>
    <t>phanduy4080</t>
  </si>
  <si>
    <t>Actor: là khách hàng tôi muốn</t>
  </si>
  <si>
    <t>US-04</t>
  </si>
  <si>
    <t>Là khách hàng, tôi muốn tìm kiếm xe theo thời gian, địa điểm và tiêu chí mong muốn để chọn được xe phù hợp.</t>
  </si>
  <si>
    <t>US-05</t>
  </si>
  <si>
    <t>US-06</t>
  </si>
  <si>
    <t>US-10</t>
  </si>
  <si>
    <t>US-11</t>
  </si>
  <si>
    <t>US-13</t>
  </si>
  <si>
    <t>Là khách hàng, tôi muốn hệ thống tự động kiểm tra lịch trống để tránh trùng với đơn đã xác nhận hoặc lịch bảo dưỡng/sửa chữa.</t>
  </si>
  <si>
    <t>Là khách hàng, tôi muốn được xem đầy đủ điều kiện thuê, giá cả, tiền cọc, chính sách gia hạn/hủy/trả trễ trước khi gửi yêu cầu để đảm bảo minh bạch.</t>
  </si>
  <si>
    <t>Là khách hàng, tôi muốn thanh toán tiền cọc/tạm ứng để xác nhận giữ xe sau khi đơn được duyệt.</t>
  </si>
  <si>
    <t>Actor: là nhân viên tôi muốn</t>
  </si>
  <si>
    <t>US-01</t>
  </si>
  <si>
    <t>Là nhân viên, tôi muốn quản lý thông tin chi tiết của xe (hãng, dòng xe, biển số, số chỗ, hộp số, nhiên liệu, giá thuê, vị trí, tiền cọc, giới hạn km) để hệ thống có dữ liệu chính xác phục vụ cho thuê.</t>
  </si>
  <si>
    <t>US-02</t>
  </si>
  <si>
    <t>Là nhân viên, tôi muốn theo dõi và cập nhật trạng thái xe (sẵn sàng cho thuê, đang giữ chỗ, đã có lịch thuê, đang cho thuê, đang kiểm tra, đang bảo dưỡng, đang sửa chữa, tạm ngừng khai thác) để tránh xếp lịch chồng chéo.</t>
  </si>
  <si>
    <t>Là nhân viên, tôi muốn duyệt hoặc từ chối yêu cầu thuê xe của khách hàng.</t>
  </si>
  <si>
    <t>Là nhân viên, tôi muốn kiểm tra số km, mức nhiên liệu, tình trạng nội/ngoại thất và ghi nhận hư hỏng cũ kèm ảnh chụp trước khi giao xe.</t>
  </si>
  <si>
    <t>US-20</t>
  </si>
  <si>
    <t>Là nhân viên, tôi muốn đối chiếu số km, mức nhiên liệu và kiểm tra hư hỏng mới khi khách trả xe.</t>
  </si>
  <si>
    <t>US-25</t>
  </si>
  <si>
    <t>Là nhân viên, tôi muốn kết thúc hợp đồng sau khi đã quyết toán xong với khách hàng.</t>
  </si>
  <si>
    <t>Actor: là hệ thống (xử lý tự động) cần</t>
  </si>
  <si>
    <t>US-15</t>
  </si>
  <si>
    <t>Là hệ thống, cần tự động chuyển trạng thái xe sang 'đang cho thuê' khi hoàn tất giao xe thực tế.</t>
  </si>
  <si>
    <t>US-24</t>
  </si>
  <si>
    <t>Là hệ thống, cần tổng hợp tiền thuê, phí phát sinh, tiền bồi thường và cấn trừ với cọc/tạm ứng để tính số tiền cần hoàn lại hoặc thu thêm.</t>
  </si>
  <si>
    <t>Thanh Duy</t>
  </si>
  <si>
    <t>Công ty kinh doanh dịch vụ cho thuê xe tự lái, cung cấp nhiều loại xe phục vụ nhu cầu di chuyển của khách hàng. Hiện tại, công ty mong muốn xây dựng một hệ thống quản lý cho thuê xe nhằm hỗ trợ quản lý xe, khách hàng và các hoạt động thuê xe một cách thuận tiện và hiệu quả.
Hệ thống mới phải cho phép khách hàng đăng nhập và tìm kiếm xe theo thời gian thuê, địa điểm nhận xe, loại xe, số chỗ và mức giá. Khách hàng có thể xem thông tin chi tiết của xe, điều kiện thuê, giá thuê và tiền đặt cọc trước khi gửi yêu cầu thuê xe.
Sau khi khách hàng gửi yêu cầu, hệ thống hỗ trợ nhân viên kiểm tra điều kiện thuê, kiểm tra lịch sử dụng và tình trạng xe để xác nhận hoặc từ chối yêu cầu. Khi yêu cầu được xác nhận, nhân viên có thể quản lý thông tin thuê xe, tiền đặt cọc và các thông tin liên quan đến hợp đồng.
Ngoài ra, hệ thống hỗ trợ nhân viên quản lý quá trình bàn giao và hoàn trả xe. Khi khách hàng nhận xe, nhân viên ghi nhận tình trạng xe. Khi xe được trả lại, nhân viên kiểm tra tình trạng xe, ghi nhận các hư hỏng nếu có và cập nhật các khoản phí phát sinh hoặc bồi thường.
Hệ thống cũng hỗ trợ quản lý trạng thái xe như xe sẵn sàng cho thuê, đang được đặt, đang cho thuê, đang bảo dưỡng hoặc đang sửa chữa. Nhân viên có thể quản lý thông tin bảo hiểm, bảo dưỡng, sửa chữa và theo dõi tình trạng của từng xe.
Ngoài các chức năng trên, hệ thống cung cấp các báo cáo thống kê phục vụ việc quản lý như số lượng xe, tình trạng xe, hoạt động cho thuê và doanh thu. Hệ thống cần đảm bảo thông tin khách hàng, thông tin xe và dữ liệu thuê xe được bảo mật, giao diện dễ sử dụng và dữ liệu được lưu trữ an toàn.</t>
  </si>
  <si>
    <t>Sprint 1 (15/09/2026 - 28/09/2026) - Quản lý Đội xe &amp; Trạng thái Xe</t>
  </si>
  <si>
    <t>Quản lý thông tin chi tiết của xe (hãng, dòng xe, biển số, số chỗ, giá thuê, tiền cọc...)</t>
  </si>
  <si>
    <t>15/09/2026</t>
  </si>
  <si>
    <t>22/09/2026</t>
  </si>
  <si>
    <t>Theo dõi và cập nhật trạng thái xe (sẵn sàng, giữ chỗ, đang thuê, bảo dưỡng, sửa chữa...)</t>
  </si>
  <si>
    <t>23/09/2026</t>
  </si>
  <si>
    <t>28/09/2026</t>
  </si>
  <si>
    <t>Sprint 2 (29/09/2026 - 12/10/2026) - Tìm kiếm Xe, Kiểm tra Lịch trống &amp; Chính sách Thuê</t>
  </si>
  <si>
    <t>Tìm kiếm xe theo thời gian, địa điểm và tiêu chí mong muốn (loại xe, số chỗ, mức giá)</t>
  </si>
  <si>
    <t>29/09/2026</t>
  </si>
  <si>
    <t>04/10/2026</t>
  </si>
  <si>
    <t>Hệ thống tự động kiểm tra lịch trống để tránh trùng với đơn đã xác nhận hoặc lịch bảo dưỡng</t>
  </si>
  <si>
    <t>05/10/2026</t>
  </si>
  <si>
    <t>09/10/2026</t>
  </si>
  <si>
    <t>Xem đầy đủ điều kiện thuê, giá cả, tiền cọc, chính sách gia hạn/hủy/trả trễ trước khi gửi yêu cầu</t>
  </si>
  <si>
    <t>10/10/2026</t>
  </si>
  <si>
    <t>12/10/2026</t>
  </si>
  <si>
    <t>Sprint 3 (13/10/2026 - 26/10/2026) - Duyệt Yêu cầu, Đặt cọc Giữ xe &amp; Bàn giao Xe</t>
  </si>
  <si>
    <t>Nhân viên duyệt hoặc từ chối yêu cầu thuê xe của khách hàng</t>
  </si>
  <si>
    <t>13/10/2026</t>
  </si>
  <si>
    <t>15/10/2026</t>
  </si>
  <si>
    <t>Khách hàng thanh toán tiền cọc/tạm ứng để xác nhận giữ xe sau khi đơn được duyệt</t>
  </si>
  <si>
    <t>16/10/2026</t>
  </si>
  <si>
    <t>20/10/2026</t>
  </si>
  <si>
    <t>Nhân viên kiểm tra số km, mức nhiên liệu, tình trạng nội/ngoại thất và ghi nhận hư hỏng cũ kèm ảnh chụp trước khi giao xe</t>
  </si>
  <si>
    <t>21/10/2026</t>
  </si>
  <si>
    <t>24/10/2026</t>
  </si>
  <si>
    <t>Hệ thống tự động chuyển trạng thái xe sang 'đang cho thuê' khi hoàn tất giao xe thực tế</t>
  </si>
  <si>
    <t>25/10/2026</t>
  </si>
  <si>
    <t>26/10/2026</t>
  </si>
  <si>
    <t>Sprint 4 (27/10/2026 - 09/11/2026) - Nhận trả Xe, Tính phí Quyết toán &amp; Đóng Hợp đồng</t>
  </si>
  <si>
    <t>Nhân viên đối chiếu số km, mức nhiên liệu và kiểm tra hư hỏng mới khi khách trả xe</t>
  </si>
  <si>
    <t>27/10/2026</t>
  </si>
  <si>
    <t>31/10/2026</t>
  </si>
  <si>
    <t>Hệ thống tổng hợp tiền thuê, phí phát sinh, tiền bồi thường và cấn trừ với cọc/tạm ứng để tính số tiền cần hoàn lại hoặc thu thêm</t>
  </si>
  <si>
    <t>01/11/2026</t>
  </si>
  <si>
    <t>05/11/2026</t>
  </si>
  <si>
    <t>Nhân viên kết thúc hợp đồng sau khi đã quyết toán xong với khách hàng</t>
  </si>
  <si>
    <t>06/11/2026</t>
  </si>
  <si>
    <t>09/11/2026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</si>
</sst>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sz val="8"/>
      <name val="Arial"/>
      <family val="2"/>
    </font>
    <font>
      <b/>
      <sz val="10"/>
      <name val="Arial"/>
      <family val="2"/>
    </font>
    <font>
      <b/>
      <sz val="14"/>
      <name val="Arial"/>
      <family val="2"/>
    </font>
    <font>
      <b/>
      <sz val="10"/>
      <color theme="0"/>
      <name val="Arial"/>
      <family val="2"/>
    </font>
    <font>
      <sz val="14"/>
      <name val="Times New Roman"/>
      <family val="1"/>
    </font>
    <font>
      <b/>
      <sz val="11"/>
      <color rgb="FFFFFFFF"/>
      <name val="Calibri"/>
      <family val="2"/>
    </font>
    <font>
      <b/>
      <sz val="10"/>
      <color rgb="FF1A202C"/>
      <name val="Calibri"/>
      <family val="2"/>
    </font>
    <font>
      <sz val="10"/>
      <color rgb="FF2D3748"/>
      <name val="Calibri"/>
      <family val="2"/>
    </font>
  </fonts>
  <fills count="8">
    <fill>
      <patternFill patternType="none"/>
    </fill>
    <fill>
      <patternFill patternType="gray125"/>
    </fill>
    <fill>
      <patternFill patternType="solid">
        <fgColor indexed="27"/>
        <bgColor indexed="64"/>
      </patternFill>
    </fill>
    <fill>
      <patternFill patternType="solid">
        <fgColor theme="1" tint="4.9989318521683403E-2"/>
        <bgColor indexed="64"/>
      </patternFill>
    </fill>
    <fill>
      <patternFill patternType="solid">
        <fgColor theme="0" tint="-0.14999847407452621"/>
        <bgColor indexed="64"/>
      </patternFill>
    </fill>
    <fill>
      <patternFill patternType="solid">
        <fgColor theme="0"/>
        <bgColor rgb="FFEDF2F7"/>
      </patternFill>
    </fill>
    <fill>
      <patternFill patternType="solid">
        <fgColor theme="8" tint="0.39997558519241921"/>
        <bgColor rgb="FF2B6CB0"/>
      </patternFill>
    </fill>
    <fill>
      <patternFill patternType="solid">
        <fgColor theme="8" tint="0.39997558519241921"/>
        <bgColor indexed="64"/>
      </patternFill>
    </fill>
  </fills>
  <borders count="13">
    <border>
      <left/>
      <right/>
      <top/>
      <bottom/>
      <diagonal/>
    </border>
    <border>
      <left/>
      <right/>
      <top/>
      <bottom style="medium">
        <color indexed="64"/>
      </bottom>
      <diagonal/>
    </border>
    <border>
      <left/>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CBD5E0"/>
      </left>
      <right style="thin">
        <color rgb="FFCBD5E0"/>
      </right>
      <top style="medium">
        <color rgb="FF1B365D"/>
      </top>
      <bottom style="medium">
        <color rgb="FF1B365D"/>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38">
    <xf numFmtId="0" fontId="0" fillId="0" borderId="0" xfId="0"/>
    <xf numFmtId="0" fontId="0" fillId="0" borderId="1" xfId="0" applyBorder="1"/>
    <xf numFmtId="0" fontId="0" fillId="2" borderId="2" xfId="0" applyFill="1" applyBorder="1"/>
    <xf numFmtId="0" fontId="3" fillId="0" borderId="0" xfId="0" applyFont="1" applyAlignment="1">
      <alignment horizontal="center"/>
    </xf>
    <xf numFmtId="0" fontId="2" fillId="2" borderId="2" xfId="0" applyFont="1" applyFill="1" applyBorder="1"/>
    <xf numFmtId="0" fontId="0" fillId="0" borderId="6" xfId="0" applyBorder="1"/>
    <xf numFmtId="0" fontId="0" fillId="0" borderId="5" xfId="0" applyBorder="1"/>
    <xf numFmtId="0" fontId="0" fillId="0" borderId="0" xfId="0" applyAlignment="1">
      <alignment horizontal="center"/>
    </xf>
    <xf numFmtId="0" fontId="0" fillId="0" borderId="8" xfId="0" applyBorder="1"/>
    <xf numFmtId="0" fontId="0" fillId="2" borderId="9" xfId="0" applyFill="1" applyBorder="1"/>
    <xf numFmtId="0" fontId="0" fillId="0" borderId="10" xfId="0" applyBorder="1"/>
    <xf numFmtId="0" fontId="2" fillId="4" borderId="4" xfId="0" applyFont="1" applyFill="1" applyBorder="1"/>
    <xf numFmtId="0" fontId="2" fillId="4" borderId="3" xfId="0" applyFont="1" applyFill="1" applyBorder="1"/>
    <xf numFmtId="0" fontId="2" fillId="4" borderId="7" xfId="0" applyFont="1" applyFill="1" applyBorder="1"/>
    <xf numFmtId="0" fontId="2" fillId="4" borderId="6" xfId="0" applyFont="1" applyFill="1" applyBorder="1"/>
    <xf numFmtId="15" fontId="0" fillId="0" borderId="6" xfId="0" applyNumberFormat="1" applyBorder="1"/>
    <xf numFmtId="0" fontId="4" fillId="3" borderId="6" xfId="0" applyFont="1" applyFill="1" applyBorder="1"/>
    <xf numFmtId="0" fontId="2" fillId="0" borderId="0" xfId="0" applyFont="1"/>
    <xf numFmtId="9" fontId="0" fillId="0" borderId="0" xfId="0" applyNumberFormat="1"/>
    <xf numFmtId="0" fontId="0" fillId="0" borderId="0" xfId="0" applyAlignment="1">
      <alignment vertical="center" wrapText="1"/>
    </xf>
    <xf numFmtId="0" fontId="0" fillId="0" borderId="0" xfId="0" applyAlignment="1">
      <alignment horizontal="center" vertical="center" wrapText="1"/>
    </xf>
    <xf numFmtId="0" fontId="2" fillId="2" borderId="2" xfId="0" applyFont="1" applyFill="1" applyBorder="1" applyAlignment="1">
      <alignment horizontal="center"/>
    </xf>
    <xf numFmtId="0" fontId="0" fillId="0" borderId="0" xfId="0" applyAlignment="1">
      <alignment horizontal="center" vertical="center"/>
    </xf>
    <xf numFmtId="0" fontId="0" fillId="0" borderId="10" xfId="0" applyBorder="1" applyAlignment="1">
      <alignment horizontal="center" vertical="center"/>
    </xf>
    <xf numFmtId="0" fontId="0" fillId="0" borderId="0" xfId="0" applyAlignment="1">
      <alignment horizontal="left" vertical="center" wrapText="1"/>
    </xf>
    <xf numFmtId="0" fontId="3" fillId="0" borderId="0" xfId="0" applyFont="1" applyAlignment="1">
      <alignment horizontal="center"/>
    </xf>
    <xf numFmtId="0" fontId="2" fillId="0" borderId="0" xfId="0" applyFont="1" applyAlignment="1">
      <alignment horizontal="center"/>
    </xf>
    <xf numFmtId="0" fontId="5" fillId="0" borderId="0" xfId="0" applyFont="1" applyAlignment="1">
      <alignment horizontal="left" wrapText="1"/>
    </xf>
    <xf numFmtId="0" fontId="0" fillId="0" borderId="0" xfId="0" applyAlignment="1">
      <alignment horizontal="left"/>
    </xf>
    <xf numFmtId="0" fontId="7" fillId="5" borderId="12" xfId="0" applyFont="1" applyFill="1" applyBorder="1" applyAlignment="1">
      <alignment horizontal="center" vertical="center"/>
    </xf>
    <xf numFmtId="0" fontId="7" fillId="5" borderId="12" xfId="0" applyFont="1" applyFill="1" applyBorder="1" applyAlignment="1">
      <alignment horizontal="left" vertical="center" wrapText="1"/>
    </xf>
    <xf numFmtId="3" fontId="7" fillId="5" borderId="12" xfId="0" applyNumberFormat="1" applyFont="1" applyFill="1" applyBorder="1" applyAlignment="1">
      <alignment horizontal="center" vertical="center"/>
    </xf>
    <xf numFmtId="0" fontId="8" fillId="5" borderId="12" xfId="0" applyFont="1" applyFill="1" applyBorder="1" applyAlignment="1">
      <alignment horizontal="center" vertical="center"/>
    </xf>
    <xf numFmtId="0" fontId="6" fillId="6" borderId="11" xfId="0" applyFont="1" applyFill="1" applyBorder="1" applyAlignment="1">
      <alignment horizontal="left" vertical="center" indent="1"/>
    </xf>
    <xf numFmtId="0" fontId="0" fillId="6" borderId="11" xfId="0" applyFill="1" applyBorder="1"/>
    <xf numFmtId="3" fontId="6" fillId="6" borderId="11" xfId="0" applyNumberFormat="1" applyFont="1" applyFill="1" applyBorder="1" applyAlignment="1">
      <alignment horizontal="center" vertical="center"/>
    </xf>
    <xf numFmtId="0" fontId="0" fillId="6" borderId="11" xfId="0" applyFill="1" applyBorder="1"/>
    <xf numFmtId="0" fontId="0" fillId="7" borderId="0" xfId="0" applyFill="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workbookViewId="0">
      <selection activeCell="A3" sqref="A3:L19"/>
    </sheetView>
  </sheetViews>
  <sheetFormatPr defaultColWidth="8.88671875" defaultRowHeight="13.2" x14ac:dyDescent="0.25"/>
  <sheetData>
    <row r="2" spans="1:12" x14ac:dyDescent="0.25">
      <c r="A2" s="17" t="s">
        <v>0</v>
      </c>
    </row>
    <row r="3" spans="1:12" ht="13.2" customHeight="1" x14ac:dyDescent="0.25">
      <c r="A3" s="27" t="s">
        <v>51</v>
      </c>
      <c r="B3" s="28"/>
      <c r="C3" s="28"/>
      <c r="D3" s="28"/>
      <c r="E3" s="28"/>
      <c r="F3" s="28"/>
      <c r="G3" s="28"/>
      <c r="H3" s="28"/>
      <c r="I3" s="28"/>
      <c r="J3" s="28"/>
      <c r="K3" s="28"/>
      <c r="L3" s="28"/>
    </row>
    <row r="4" spans="1:12" x14ac:dyDescent="0.25">
      <c r="A4" s="28"/>
      <c r="B4" s="28"/>
      <c r="C4" s="28"/>
      <c r="D4" s="28"/>
      <c r="E4" s="28"/>
      <c r="F4" s="28"/>
      <c r="G4" s="28"/>
      <c r="H4" s="28"/>
      <c r="I4" s="28"/>
      <c r="J4" s="28"/>
      <c r="K4" s="28"/>
      <c r="L4" s="28"/>
    </row>
    <row r="5" spans="1:12" x14ac:dyDescent="0.25">
      <c r="A5" s="28"/>
      <c r="B5" s="28"/>
      <c r="C5" s="28"/>
      <c r="D5" s="28"/>
      <c r="E5" s="28"/>
      <c r="F5" s="28"/>
      <c r="G5" s="28"/>
      <c r="H5" s="28"/>
      <c r="I5" s="28"/>
      <c r="J5" s="28"/>
      <c r="K5" s="28"/>
      <c r="L5" s="28"/>
    </row>
    <row r="6" spans="1:12" x14ac:dyDescent="0.25">
      <c r="A6" s="28"/>
      <c r="B6" s="28"/>
      <c r="C6" s="28"/>
      <c r="D6" s="28"/>
      <c r="E6" s="28"/>
      <c r="F6" s="28"/>
      <c r="G6" s="28"/>
      <c r="H6" s="28"/>
      <c r="I6" s="28"/>
      <c r="J6" s="28"/>
      <c r="K6" s="28"/>
      <c r="L6" s="28"/>
    </row>
    <row r="7" spans="1:12" x14ac:dyDescent="0.25">
      <c r="A7" s="28"/>
      <c r="B7" s="28"/>
      <c r="C7" s="28"/>
      <c r="D7" s="28"/>
      <c r="E7" s="28"/>
      <c r="F7" s="28"/>
      <c r="G7" s="28"/>
      <c r="H7" s="28"/>
      <c r="I7" s="28"/>
      <c r="J7" s="28"/>
      <c r="K7" s="28"/>
      <c r="L7" s="28"/>
    </row>
    <row r="8" spans="1:12" x14ac:dyDescent="0.25">
      <c r="A8" s="28"/>
      <c r="B8" s="28"/>
      <c r="C8" s="28"/>
      <c r="D8" s="28"/>
      <c r="E8" s="28"/>
      <c r="F8" s="28"/>
      <c r="G8" s="28"/>
      <c r="H8" s="28"/>
      <c r="I8" s="28"/>
      <c r="J8" s="28"/>
      <c r="K8" s="28"/>
      <c r="L8" s="28"/>
    </row>
    <row r="9" spans="1:12" x14ac:dyDescent="0.25">
      <c r="A9" s="28"/>
      <c r="B9" s="28"/>
      <c r="C9" s="28"/>
      <c r="D9" s="28"/>
      <c r="E9" s="28"/>
      <c r="F9" s="28"/>
      <c r="G9" s="28"/>
      <c r="H9" s="28"/>
      <c r="I9" s="28"/>
      <c r="J9" s="28"/>
      <c r="K9" s="28"/>
      <c r="L9" s="28"/>
    </row>
    <row r="10" spans="1:12" x14ac:dyDescent="0.25">
      <c r="A10" s="28"/>
      <c r="B10" s="28"/>
      <c r="C10" s="28"/>
      <c r="D10" s="28"/>
      <c r="E10" s="28"/>
      <c r="F10" s="28"/>
      <c r="G10" s="28"/>
      <c r="H10" s="28"/>
      <c r="I10" s="28"/>
      <c r="J10" s="28"/>
      <c r="K10" s="28"/>
      <c r="L10" s="28"/>
    </row>
    <row r="11" spans="1:12" x14ac:dyDescent="0.25">
      <c r="A11" s="28"/>
      <c r="B11" s="28"/>
      <c r="C11" s="28"/>
      <c r="D11" s="28"/>
      <c r="E11" s="28"/>
      <c r="F11" s="28"/>
      <c r="G11" s="28"/>
      <c r="H11" s="28"/>
      <c r="I11" s="28"/>
      <c r="J11" s="28"/>
      <c r="K11" s="28"/>
      <c r="L11" s="28"/>
    </row>
    <row r="12" spans="1:12" x14ac:dyDescent="0.25">
      <c r="A12" s="28"/>
      <c r="B12" s="28"/>
      <c r="C12" s="28"/>
      <c r="D12" s="28"/>
      <c r="E12" s="28"/>
      <c r="F12" s="28"/>
      <c r="G12" s="28"/>
      <c r="H12" s="28"/>
      <c r="I12" s="28"/>
      <c r="J12" s="28"/>
      <c r="K12" s="28"/>
      <c r="L12" s="28"/>
    </row>
    <row r="13" spans="1:12" x14ac:dyDescent="0.25">
      <c r="A13" s="28"/>
      <c r="B13" s="28"/>
      <c r="C13" s="28"/>
      <c r="D13" s="28"/>
      <c r="E13" s="28"/>
      <c r="F13" s="28"/>
      <c r="G13" s="28"/>
      <c r="H13" s="28"/>
      <c r="I13" s="28"/>
      <c r="J13" s="28"/>
      <c r="K13" s="28"/>
      <c r="L13" s="28"/>
    </row>
    <row r="14" spans="1:12" x14ac:dyDescent="0.25">
      <c r="A14" s="28"/>
      <c r="B14" s="28"/>
      <c r="C14" s="28"/>
      <c r="D14" s="28"/>
      <c r="E14" s="28"/>
      <c r="F14" s="28"/>
      <c r="G14" s="28"/>
      <c r="H14" s="28"/>
      <c r="I14" s="28"/>
      <c r="J14" s="28"/>
      <c r="K14" s="28"/>
      <c r="L14" s="28"/>
    </row>
    <row r="15" spans="1:12" x14ac:dyDescent="0.25">
      <c r="A15" s="28"/>
      <c r="B15" s="28"/>
      <c r="C15" s="28"/>
      <c r="D15" s="28"/>
      <c r="E15" s="28"/>
      <c r="F15" s="28"/>
      <c r="G15" s="28"/>
      <c r="H15" s="28"/>
      <c r="I15" s="28"/>
      <c r="J15" s="28"/>
      <c r="K15" s="28"/>
      <c r="L15" s="28"/>
    </row>
    <row r="16" spans="1:12" x14ac:dyDescent="0.25">
      <c r="A16" s="28"/>
      <c r="B16" s="28"/>
      <c r="C16" s="28"/>
      <c r="D16" s="28"/>
      <c r="E16" s="28"/>
      <c r="F16" s="28"/>
      <c r="G16" s="28"/>
      <c r="H16" s="28"/>
      <c r="I16" s="28"/>
      <c r="J16" s="28"/>
      <c r="K16" s="28"/>
      <c r="L16" s="28"/>
    </row>
    <row r="17" spans="1:12" x14ac:dyDescent="0.25">
      <c r="A17" s="28"/>
      <c r="B17" s="28"/>
      <c r="C17" s="28"/>
      <c r="D17" s="28"/>
      <c r="E17" s="28"/>
      <c r="F17" s="28"/>
      <c r="G17" s="28"/>
      <c r="H17" s="28"/>
      <c r="I17" s="28"/>
      <c r="J17" s="28"/>
      <c r="K17" s="28"/>
      <c r="L17" s="28"/>
    </row>
    <row r="18" spans="1:12" x14ac:dyDescent="0.25">
      <c r="A18" s="28"/>
      <c r="B18" s="28"/>
      <c r="C18" s="28"/>
      <c r="D18" s="28"/>
      <c r="E18" s="28"/>
      <c r="F18" s="28"/>
      <c r="G18" s="28"/>
      <c r="H18" s="28"/>
      <c r="I18" s="28"/>
      <c r="J18" s="28"/>
      <c r="K18" s="28"/>
      <c r="L18" s="28"/>
    </row>
    <row r="19" spans="1:12" x14ac:dyDescent="0.25">
      <c r="A19" s="28"/>
      <c r="B19" s="28"/>
      <c r="C19" s="28"/>
      <c r="D19" s="28"/>
      <c r="E19" s="28"/>
      <c r="F19" s="28"/>
      <c r="G19" s="28"/>
      <c r="H19" s="28"/>
      <c r="I19" s="28"/>
      <c r="J19" s="28"/>
      <c r="K19" s="28"/>
      <c r="L19" s="28"/>
    </row>
  </sheetData>
  <mergeCells count="1">
    <mergeCell ref="A3: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zoomScaleNormal="100" workbookViewId="0">
      <selection activeCell="D4" sqref="D4"/>
    </sheetView>
  </sheetViews>
  <sheetFormatPr defaultColWidth="8.88671875" defaultRowHeight="13.2" x14ac:dyDescent="0.25"/>
  <cols>
    <col min="1" max="1" width="4.21875" customWidth="1"/>
    <col min="2" max="2" width="22.6640625" customWidth="1"/>
    <col min="3" max="3" width="23.33203125" customWidth="1"/>
    <col min="4" max="4" width="16.21875" bestFit="1" customWidth="1"/>
    <col min="5" max="253" width="11.44140625" customWidth="1"/>
  </cols>
  <sheetData>
    <row r="1" spans="1:6" x14ac:dyDescent="0.25">
      <c r="A1" s="26" t="s">
        <v>1</v>
      </c>
      <c r="B1" s="26"/>
      <c r="C1" s="26"/>
      <c r="D1" s="26"/>
      <c r="E1" s="26"/>
      <c r="F1" s="26"/>
    </row>
    <row r="3" spans="1:6" x14ac:dyDescent="0.25">
      <c r="A3" s="16" t="s">
        <v>2</v>
      </c>
      <c r="B3" s="16" t="s">
        <v>3</v>
      </c>
      <c r="C3" s="16" t="s">
        <v>4</v>
      </c>
      <c r="D3" s="16" t="s">
        <v>5</v>
      </c>
      <c r="E3" s="16" t="s">
        <v>6</v>
      </c>
      <c r="F3" s="16" t="s">
        <v>7</v>
      </c>
    </row>
    <row r="4" spans="1:6" x14ac:dyDescent="0.25">
      <c r="A4" s="5">
        <v>1</v>
      </c>
      <c r="B4" s="5" t="s">
        <v>20</v>
      </c>
      <c r="C4" s="5" t="s">
        <v>22</v>
      </c>
      <c r="D4" t="s">
        <v>21</v>
      </c>
      <c r="E4" s="15"/>
      <c r="F4" s="5"/>
    </row>
  </sheetData>
  <mergeCells count="1">
    <mergeCell ref="A1:F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zoomScale="85" zoomScaleNormal="85" workbookViewId="0">
      <pane ySplit="4" topLeftCell="A5" activePane="bottomLeft" state="frozen"/>
      <selection pane="bottomLeft" activeCell="B19" sqref="B19"/>
    </sheetView>
  </sheetViews>
  <sheetFormatPr defaultColWidth="8.88671875" defaultRowHeight="13.2" x14ac:dyDescent="0.25"/>
  <cols>
    <col min="1" max="1" width="10" bestFit="1" customWidth="1"/>
    <col min="2" max="2" width="67.21875" customWidth="1"/>
    <col min="3" max="3" width="6.109375" bestFit="1" customWidth="1"/>
  </cols>
  <sheetData>
    <row r="1" spans="1:7" ht="17.399999999999999" x14ac:dyDescent="0.3">
      <c r="B1" s="3" t="s">
        <v>8</v>
      </c>
    </row>
    <row r="2" spans="1:7" ht="13.8" thickBot="1" x14ac:dyDescent="0.3">
      <c r="A2" s="1"/>
      <c r="B2" s="7"/>
      <c r="C2" s="1"/>
    </row>
    <row r="3" spans="1:7" x14ac:dyDescent="0.25">
      <c r="A3" s="11" t="s">
        <v>9</v>
      </c>
      <c r="B3" s="12" t="s">
        <v>10</v>
      </c>
      <c r="C3" s="13" t="s">
        <v>11</v>
      </c>
    </row>
    <row r="4" spans="1:7" ht="13.8" thickBot="1" x14ac:dyDescent="0.3">
      <c r="A4" s="6"/>
      <c r="B4" s="1"/>
      <c r="C4" s="8"/>
    </row>
    <row r="5" spans="1:7" x14ac:dyDescent="0.25">
      <c r="A5" s="2"/>
      <c r="B5" s="21" t="s">
        <v>23</v>
      </c>
      <c r="C5" s="9"/>
    </row>
    <row r="6" spans="1:7" ht="26.4" x14ac:dyDescent="0.25">
      <c r="A6" s="22" t="s">
        <v>24</v>
      </c>
      <c r="B6" s="24" t="s">
        <v>25</v>
      </c>
      <c r="C6" s="22">
        <v>8</v>
      </c>
    </row>
    <row r="7" spans="1:7" ht="26.4" x14ac:dyDescent="0.25">
      <c r="A7" s="20" t="s">
        <v>26</v>
      </c>
      <c r="B7" s="24" t="s">
        <v>31</v>
      </c>
      <c r="C7" s="23">
        <v>8</v>
      </c>
      <c r="G7" s="18"/>
    </row>
    <row r="8" spans="1:7" ht="26.4" x14ac:dyDescent="0.25">
      <c r="A8" s="22" t="s">
        <v>27</v>
      </c>
      <c r="B8" s="24" t="s">
        <v>32</v>
      </c>
      <c r="C8" s="23">
        <v>5</v>
      </c>
    </row>
    <row r="9" spans="1:7" ht="26.4" x14ac:dyDescent="0.25">
      <c r="A9" s="20" t="s">
        <v>29</v>
      </c>
      <c r="B9" s="24" t="s">
        <v>33</v>
      </c>
      <c r="C9" s="23">
        <v>8</v>
      </c>
    </row>
    <row r="10" spans="1:7" x14ac:dyDescent="0.25">
      <c r="A10" s="2"/>
      <c r="B10" s="4" t="s">
        <v>34</v>
      </c>
      <c r="C10" s="9"/>
    </row>
    <row r="11" spans="1:7" ht="39.6" x14ac:dyDescent="0.25">
      <c r="A11" t="s">
        <v>35</v>
      </c>
      <c r="B11" s="19" t="s">
        <v>36</v>
      </c>
      <c r="C11" s="10">
        <v>8</v>
      </c>
    </row>
    <row r="12" spans="1:7" ht="39.6" x14ac:dyDescent="0.25">
      <c r="A12" s="20" t="s">
        <v>37</v>
      </c>
      <c r="B12" s="19" t="s">
        <v>38</v>
      </c>
      <c r="C12" s="10">
        <v>5</v>
      </c>
    </row>
    <row r="13" spans="1:7" x14ac:dyDescent="0.25">
      <c r="A13" s="20" t="s">
        <v>28</v>
      </c>
      <c r="B13" s="19" t="s">
        <v>39</v>
      </c>
      <c r="C13" s="10">
        <v>5</v>
      </c>
    </row>
    <row r="14" spans="1:7" ht="26.4" x14ac:dyDescent="0.25">
      <c r="A14" s="20" t="s">
        <v>30</v>
      </c>
      <c r="B14" s="19" t="s">
        <v>40</v>
      </c>
      <c r="C14" s="10">
        <v>8</v>
      </c>
    </row>
    <row r="15" spans="1:7" ht="26.4" x14ac:dyDescent="0.25">
      <c r="A15" s="20" t="s">
        <v>41</v>
      </c>
      <c r="B15" s="19" t="s">
        <v>42</v>
      </c>
      <c r="C15" s="10">
        <v>8</v>
      </c>
    </row>
    <row r="16" spans="1:7" ht="26.4" x14ac:dyDescent="0.25">
      <c r="A16" s="20" t="s">
        <v>43</v>
      </c>
      <c r="B16" s="19" t="s">
        <v>44</v>
      </c>
      <c r="C16" s="10">
        <v>3</v>
      </c>
    </row>
    <row r="17" spans="1:3" x14ac:dyDescent="0.25">
      <c r="A17" s="2"/>
      <c r="B17" s="4" t="s">
        <v>45</v>
      </c>
      <c r="C17" s="9"/>
    </row>
    <row r="18" spans="1:3" ht="26.4" x14ac:dyDescent="0.25">
      <c r="A18" s="20" t="s">
        <v>46</v>
      </c>
      <c r="B18" s="19" t="s">
        <v>47</v>
      </c>
      <c r="C18" s="10">
        <v>3</v>
      </c>
    </row>
    <row r="19" spans="1:3" ht="26.4" x14ac:dyDescent="0.25">
      <c r="A19" s="20" t="s">
        <v>48</v>
      </c>
      <c r="B19" s="19" t="s">
        <v>49</v>
      </c>
      <c r="C19" s="10">
        <v>8</v>
      </c>
    </row>
  </sheetData>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tabSelected="1" topLeftCell="A9" zoomScaleNormal="100" workbookViewId="0">
      <selection activeCell="D17" sqref="D17"/>
    </sheetView>
  </sheetViews>
  <sheetFormatPr defaultColWidth="8.88671875" defaultRowHeight="13.2" x14ac:dyDescent="0.25"/>
  <cols>
    <col min="1" max="1" width="15.77734375" customWidth="1"/>
    <col min="2" max="2" width="57.33203125" customWidth="1"/>
    <col min="3" max="3" width="6.109375" bestFit="1" customWidth="1"/>
    <col min="4" max="4" width="12.88671875" bestFit="1" customWidth="1"/>
    <col min="5" max="5" width="11.44140625" customWidth="1"/>
    <col min="6" max="6" width="13" customWidth="1"/>
    <col min="7" max="7" width="14.44140625" customWidth="1"/>
    <col min="8" max="8" width="13.44140625" customWidth="1"/>
    <col min="9" max="9" width="10" bestFit="1" customWidth="1"/>
    <col min="10" max="10" width="6" bestFit="1" customWidth="1"/>
  </cols>
  <sheetData>
    <row r="1" spans="1:10" ht="34.5" customHeight="1" x14ac:dyDescent="0.3">
      <c r="A1" s="25" t="s">
        <v>12</v>
      </c>
      <c r="B1" s="25"/>
      <c r="C1" s="25"/>
      <c r="D1" s="25"/>
      <c r="E1" s="25"/>
      <c r="F1" s="25"/>
      <c r="G1" s="25"/>
      <c r="H1" s="25"/>
      <c r="I1" s="25"/>
      <c r="J1" s="25"/>
    </row>
    <row r="2" spans="1:10" ht="18" customHeight="1" x14ac:dyDescent="0.3">
      <c r="A2" s="3"/>
      <c r="B2" s="3"/>
      <c r="C2" s="3"/>
      <c r="D2" s="3"/>
      <c r="E2" s="3"/>
      <c r="F2" s="3"/>
      <c r="G2" s="3"/>
      <c r="H2" s="3"/>
    </row>
    <row r="3" spans="1:10" x14ac:dyDescent="0.25">
      <c r="B3" s="7"/>
      <c r="E3" s="26"/>
      <c r="F3" s="26"/>
      <c r="G3" s="26"/>
      <c r="H3" s="26"/>
    </row>
    <row r="4" spans="1:10" ht="13.8" thickBot="1" x14ac:dyDescent="0.3">
      <c r="A4" s="14" t="s">
        <v>9</v>
      </c>
      <c r="B4" s="14" t="s">
        <v>10</v>
      </c>
      <c r="C4" s="14" t="s">
        <v>11</v>
      </c>
      <c r="D4" s="14" t="s">
        <v>13</v>
      </c>
      <c r="E4" s="14" t="s">
        <v>14</v>
      </c>
      <c r="F4" s="14" t="s">
        <v>15</v>
      </c>
      <c r="G4" s="14" t="s">
        <v>16</v>
      </c>
      <c r="H4" s="14" t="s">
        <v>17</v>
      </c>
      <c r="I4" s="14" t="s">
        <v>18</v>
      </c>
      <c r="J4" s="14" t="s">
        <v>19</v>
      </c>
    </row>
    <row r="5" spans="1:10" ht="15" thickBot="1" x14ac:dyDescent="0.3">
      <c r="A5" s="33" t="s">
        <v>52</v>
      </c>
      <c r="B5" s="34"/>
      <c r="C5" s="35">
        <f>C6+C7</f>
        <v>13</v>
      </c>
      <c r="D5" s="36"/>
      <c r="E5" s="36"/>
      <c r="F5" s="36"/>
      <c r="G5" s="36"/>
      <c r="H5" s="36"/>
      <c r="I5" s="35">
        <f>I6+I7</f>
        <v>13</v>
      </c>
      <c r="J5" s="5"/>
    </row>
    <row r="6" spans="1:10" ht="41.4" x14ac:dyDescent="0.25">
      <c r="A6" s="29" t="s">
        <v>35</v>
      </c>
      <c r="B6" s="30" t="s">
        <v>53</v>
      </c>
      <c r="C6" s="31">
        <v>8</v>
      </c>
      <c r="D6" s="32" t="s">
        <v>50</v>
      </c>
      <c r="E6" s="32" t="s">
        <v>54</v>
      </c>
      <c r="F6" s="32" t="s">
        <v>55</v>
      </c>
      <c r="G6" s="32" t="s">
        <v>54</v>
      </c>
      <c r="H6" s="32" t="s">
        <v>55</v>
      </c>
      <c r="I6" s="31">
        <v>8</v>
      </c>
    </row>
    <row r="7" spans="1:10" ht="42" thickBot="1" x14ac:dyDescent="0.3">
      <c r="A7" s="29" t="s">
        <v>37</v>
      </c>
      <c r="B7" s="30" t="s">
        <v>56</v>
      </c>
      <c r="C7" s="31">
        <v>5</v>
      </c>
      <c r="D7" s="32" t="s">
        <v>50</v>
      </c>
      <c r="E7" s="32" t="s">
        <v>57</v>
      </c>
      <c r="F7" s="32" t="s">
        <v>58</v>
      </c>
      <c r="G7" s="32" t="s">
        <v>57</v>
      </c>
      <c r="H7" s="32" t="s">
        <v>58</v>
      </c>
      <c r="I7" s="31">
        <v>5</v>
      </c>
    </row>
    <row r="8" spans="1:10" ht="18" customHeight="1" thickBot="1" x14ac:dyDescent="0.3">
      <c r="A8" s="33" t="s">
        <v>59</v>
      </c>
      <c r="B8" s="34"/>
      <c r="C8" s="35">
        <f>C9+C10+C11</f>
        <v>21</v>
      </c>
      <c r="D8" s="36"/>
      <c r="E8" s="36"/>
      <c r="F8" s="36"/>
      <c r="G8" s="36"/>
      <c r="H8" s="36"/>
      <c r="I8" s="35">
        <f>I9+I10+I11</f>
        <v>21</v>
      </c>
    </row>
    <row r="9" spans="1:10" ht="41.4" x14ac:dyDescent="0.25">
      <c r="A9" s="29" t="s">
        <v>24</v>
      </c>
      <c r="B9" s="30" t="s">
        <v>60</v>
      </c>
      <c r="C9" s="31">
        <v>8</v>
      </c>
      <c r="D9" s="32" t="s">
        <v>50</v>
      </c>
      <c r="E9" s="32" t="s">
        <v>61</v>
      </c>
      <c r="F9" s="32" t="s">
        <v>62</v>
      </c>
      <c r="G9" s="32" t="s">
        <v>61</v>
      </c>
      <c r="H9" s="32" t="s">
        <v>62</v>
      </c>
      <c r="I9" s="31">
        <v>8</v>
      </c>
    </row>
    <row r="10" spans="1:10" ht="41.4" x14ac:dyDescent="0.25">
      <c r="A10" s="29" t="s">
        <v>26</v>
      </c>
      <c r="B10" s="30" t="s">
        <v>63</v>
      </c>
      <c r="C10" s="31">
        <v>8</v>
      </c>
      <c r="D10" s="32" t="s">
        <v>50</v>
      </c>
      <c r="E10" s="32" t="s">
        <v>64</v>
      </c>
      <c r="F10" s="32" t="s">
        <v>65</v>
      </c>
      <c r="G10" s="32" t="s">
        <v>64</v>
      </c>
      <c r="H10" s="32" t="s">
        <v>65</v>
      </c>
      <c r="I10" s="31">
        <v>8</v>
      </c>
    </row>
    <row r="11" spans="1:10" ht="55.8" thickBot="1" x14ac:dyDescent="0.3">
      <c r="A11" s="29" t="s">
        <v>27</v>
      </c>
      <c r="B11" s="30" t="s">
        <v>66</v>
      </c>
      <c r="C11" s="31">
        <v>5</v>
      </c>
      <c r="D11" s="32" t="s">
        <v>50</v>
      </c>
      <c r="E11" s="32" t="s">
        <v>67</v>
      </c>
      <c r="F11" s="32" t="s">
        <v>68</v>
      </c>
      <c r="G11" s="32" t="s">
        <v>67</v>
      </c>
      <c r="H11" s="32" t="s">
        <v>68</v>
      </c>
      <c r="I11" s="31">
        <v>5</v>
      </c>
    </row>
    <row r="12" spans="1:10" s="37" customFormat="1" ht="15" thickBot="1" x14ac:dyDescent="0.3">
      <c r="A12" s="33" t="s">
        <v>69</v>
      </c>
      <c r="B12" s="34"/>
      <c r="C12" s="35">
        <f>C13+C14+C15+C16</f>
        <v>24</v>
      </c>
      <c r="D12" s="36"/>
      <c r="E12" s="36"/>
      <c r="F12" s="36"/>
      <c r="G12" s="36"/>
      <c r="H12" s="36"/>
      <c r="I12" s="35">
        <f>I13+I14+I15+I16</f>
        <v>18</v>
      </c>
    </row>
    <row r="13" spans="1:10" ht="27.6" x14ac:dyDescent="0.25">
      <c r="A13" s="29" t="s">
        <v>28</v>
      </c>
      <c r="B13" s="30" t="s">
        <v>70</v>
      </c>
      <c r="C13" s="31">
        <v>5</v>
      </c>
      <c r="D13" s="32" t="s">
        <v>50</v>
      </c>
      <c r="E13" s="32" t="s">
        <v>71</v>
      </c>
      <c r="F13" s="32" t="s">
        <v>72</v>
      </c>
      <c r="G13" s="32" t="s">
        <v>71</v>
      </c>
      <c r="H13" s="32" t="s">
        <v>72</v>
      </c>
      <c r="I13" s="31">
        <v>5</v>
      </c>
    </row>
    <row r="14" spans="1:10" ht="41.4" x14ac:dyDescent="0.25">
      <c r="A14" s="29" t="s">
        <v>29</v>
      </c>
      <c r="B14" s="30" t="s">
        <v>73</v>
      </c>
      <c r="C14" s="31">
        <v>8</v>
      </c>
      <c r="D14" s="32" t="s">
        <v>50</v>
      </c>
      <c r="E14" s="32" t="s">
        <v>74</v>
      </c>
      <c r="F14" s="32" t="s">
        <v>75</v>
      </c>
      <c r="G14" s="32" t="s">
        <v>74</v>
      </c>
      <c r="H14" s="32" t="s">
        <v>75</v>
      </c>
      <c r="I14" s="31">
        <v>8</v>
      </c>
    </row>
    <row r="15" spans="1:10" ht="55.2" x14ac:dyDescent="0.25">
      <c r="A15" s="29" t="s">
        <v>30</v>
      </c>
      <c r="B15" s="30" t="s">
        <v>76</v>
      </c>
      <c r="C15" s="31">
        <v>8</v>
      </c>
      <c r="D15" s="32" t="s">
        <v>50</v>
      </c>
      <c r="E15" s="32" t="s">
        <v>77</v>
      </c>
      <c r="F15" s="32" t="s">
        <v>78</v>
      </c>
      <c r="G15" s="32" t="s">
        <v>77</v>
      </c>
      <c r="H15" s="32"/>
      <c r="I15" s="31">
        <v>5</v>
      </c>
    </row>
    <row r="16" spans="1:10" ht="42" thickBot="1" x14ac:dyDescent="0.3">
      <c r="A16" s="29" t="s">
        <v>46</v>
      </c>
      <c r="B16" s="30" t="s">
        <v>79</v>
      </c>
      <c r="C16" s="31">
        <v>3</v>
      </c>
      <c r="D16" s="32" t="s">
        <v>50</v>
      </c>
      <c r="E16" s="32" t="s">
        <v>80</v>
      </c>
      <c r="F16" s="32" t="s">
        <v>81</v>
      </c>
      <c r="G16" s="32"/>
      <c r="H16" s="32"/>
      <c r="I16" s="31">
        <v>0</v>
      </c>
    </row>
    <row r="17" spans="1:9" s="37" customFormat="1" ht="15" thickBot="1" x14ac:dyDescent="0.3">
      <c r="A17" s="33" t="s">
        <v>82</v>
      </c>
      <c r="B17" s="34"/>
      <c r="C17" s="35">
        <f>C18+C19+C20</f>
        <v>19</v>
      </c>
      <c r="D17" s="36"/>
      <c r="E17" s="36"/>
      <c r="F17" s="36"/>
      <c r="G17" s="36"/>
      <c r="H17" s="36"/>
      <c r="I17" s="35">
        <f>I18+I19+I20</f>
        <v>0</v>
      </c>
    </row>
    <row r="18" spans="1:9" ht="41.4" x14ac:dyDescent="0.25">
      <c r="A18" s="29" t="s">
        <v>41</v>
      </c>
      <c r="B18" s="30" t="s">
        <v>83</v>
      </c>
      <c r="C18" s="31">
        <v>8</v>
      </c>
      <c r="D18" s="32" t="s">
        <v>50</v>
      </c>
      <c r="E18" s="32" t="s">
        <v>84</v>
      </c>
      <c r="F18" s="32" t="s">
        <v>85</v>
      </c>
      <c r="G18" s="32"/>
      <c r="H18" s="32"/>
      <c r="I18" s="31">
        <v>0</v>
      </c>
    </row>
    <row r="19" spans="1:9" ht="55.2" x14ac:dyDescent="0.25">
      <c r="A19" s="29" t="s">
        <v>48</v>
      </c>
      <c r="B19" s="30" t="s">
        <v>86</v>
      </c>
      <c r="C19" s="31">
        <v>8</v>
      </c>
      <c r="D19" s="32" t="s">
        <v>50</v>
      </c>
      <c r="E19" s="32" t="s">
        <v>87</v>
      </c>
      <c r="F19" s="32" t="s">
        <v>88</v>
      </c>
      <c r="G19" s="32"/>
      <c r="H19" s="32"/>
      <c r="I19" s="31">
        <v>0</v>
      </c>
    </row>
    <row r="20" spans="1:9" ht="41.4" x14ac:dyDescent="0.25">
      <c r="A20" s="29" t="s">
        <v>43</v>
      </c>
      <c r="B20" s="30" t="s">
        <v>89</v>
      </c>
      <c r="C20" s="31">
        <v>3</v>
      </c>
      <c r="D20" s="32" t="s">
        <v>50</v>
      </c>
      <c r="E20" s="32" t="s">
        <v>90</v>
      </c>
      <c r="F20" s="32" t="s">
        <v>91</v>
      </c>
      <c r="G20" s="32"/>
      <c r="H20" s="32"/>
      <c r="I20" s="31">
        <v>0</v>
      </c>
    </row>
  </sheetData>
  <mergeCells count="7">
    <mergeCell ref="A12:B12"/>
    <mergeCell ref="A17:B17"/>
    <mergeCell ref="A1:J1"/>
    <mergeCell ref="E3:F3"/>
    <mergeCell ref="G3:H3"/>
    <mergeCell ref="A8:B8"/>
    <mergeCell ref="A5:B5"/>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Duy Phan</cp:lastModifiedBy>
  <cp:revision/>
  <dcterms:created xsi:type="dcterms:W3CDTF">2007-09-27T18:30:44Z</dcterms:created>
  <dcterms:modified xsi:type="dcterms:W3CDTF">2026-10-22T07:31:54Z</dcterms:modified>
  <cp:category>DNG67</cp:category>
  <cp:contentStatus/>
</cp:coreProperties>
</file>